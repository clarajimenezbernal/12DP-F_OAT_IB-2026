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<sst xmlns="http://schemas.openxmlformats.org/spreadsheetml/2006/main" count="119" uniqueCount="74">
  <si>
    <t>GANTT CHART</t>
  </si>
  <si>
    <t>PROJECT TITLE</t>
  </si>
  <si>
    <t>Disease Project: Orthorine Aminotransferase Deficiency</t>
  </si>
  <si>
    <t>PROJECT MANAGER</t>
  </si>
  <si>
    <t>Veronica Wangchen</t>
  </si>
  <si>
    <t>DATE</t>
  </si>
  <si>
    <t>WP NUMBER</t>
  </si>
  <si>
    <t>TASK TITLE</t>
  </si>
  <si>
    <t>TASK OWNER</t>
  </si>
  <si>
    <t>START DATE</t>
  </si>
  <si>
    <t>END DATE</t>
  </si>
  <si>
    <t>ACTUAL START DATE</t>
  </si>
  <si>
    <t>ACTUAL    END DATE</t>
  </si>
  <si>
    <t>PREDECESSOR</t>
  </si>
  <si>
    <t>DURATION</t>
  </si>
  <si>
    <t>STATUS</t>
  </si>
  <si>
    <t>PHASE ONE</t>
  </si>
  <si>
    <t>PHASE TWO</t>
  </si>
  <si>
    <t>PHASE THREE</t>
  </si>
  <si>
    <t>WEEK 1</t>
  </si>
  <si>
    <t>WEEK 2</t>
  </si>
  <si>
    <t>WEEK 3</t>
  </si>
  <si>
    <t>WEEK 4</t>
  </si>
  <si>
    <t>M</t>
  </si>
  <si>
    <t>T</t>
  </si>
  <si>
    <t>W</t>
  </si>
  <si>
    <t>R</t>
  </si>
  <si>
    <t>F</t>
  </si>
  <si>
    <t>WP1</t>
  </si>
  <si>
    <t>Project initiation and background</t>
  </si>
  <si>
    <t xml:space="preserve">  </t>
  </si>
  <si>
    <t>Define project objectives and risks</t>
  </si>
  <si>
    <t>Clara</t>
  </si>
  <si>
    <t>-</t>
  </si>
  <si>
    <t>Design Gantt Chart structure</t>
  </si>
  <si>
    <t>Everybody</t>
  </si>
  <si>
    <t>Organise GitHub</t>
  </si>
  <si>
    <t>Vero</t>
  </si>
  <si>
    <t xml:space="preserve">Find reliable source on OAT </t>
  </si>
  <si>
    <t>Define OAT biological function</t>
  </si>
  <si>
    <t>WP2</t>
  </si>
  <si>
    <t>OAT and the mutant variants</t>
  </si>
  <si>
    <t>Identify the OAT gene and reference sequence</t>
  </si>
  <si>
    <t>Identify relevant variants for the disease</t>
  </si>
  <si>
    <t>Roger</t>
  </si>
  <si>
    <t>Compare wild-type and mutant sequences</t>
  </si>
  <si>
    <t>Interpret the relevance of the sequence differences</t>
  </si>
  <si>
    <t>Ana</t>
  </si>
  <si>
    <t>WP3</t>
  </si>
  <si>
    <t>The protein structure and PDB analysis</t>
  </si>
  <si>
    <t>Identify OAT structures in PDB</t>
  </si>
  <si>
    <t>Locate relevant mutations in the protein structure</t>
  </si>
  <si>
    <t>Analyse the possible structural consequences</t>
  </si>
  <si>
    <t>Prepare structural figures</t>
  </si>
  <si>
    <t>WP4</t>
  </si>
  <si>
    <t>Comparison between species</t>
  </si>
  <si>
    <t>Select two relevant non-human species and information about it</t>
  </si>
  <si>
    <t>80%%</t>
  </si>
  <si>
    <t>Obtain the OAT homolgs sequences</t>
  </si>
  <si>
    <t>Perform sequence alignment</t>
  </si>
  <si>
    <t>Analyse the biological implications</t>
  </si>
  <si>
    <t>WP5</t>
  </si>
  <si>
    <t>Interpretation and disease mechanism</t>
  </si>
  <si>
    <t>Connect the genetic changes with the protein changes</t>
  </si>
  <si>
    <t>Connect the protein changes with OAT function</t>
  </si>
  <si>
    <t>Connect the altered function with disease phenotype</t>
  </si>
  <si>
    <t>Integrate the human and species analysis</t>
  </si>
  <si>
    <t>WP6</t>
  </si>
  <si>
    <t>Final revision</t>
  </si>
  <si>
    <t>Make sure all sections are present and logically presented</t>
  </si>
  <si>
    <t>Check scientific consistency</t>
  </si>
  <si>
    <t>Revise references and formatting</t>
  </si>
  <si>
    <t>Final proofreeding</t>
  </si>
  <si>
    <t>Final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</si>
</sst>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$&quot;#,##0.00"/>
    <numFmt numFmtId="166" formatCode="dd&quot;/&quot;mm&quot;/&quot;yy"/>
  </numFmts>
  <fonts count="35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0.0"/>
      <color rgb="FF666666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  <font>
      <sz val="10.0"/>
      <name val="Arial"/>
    </font>
    <font>
      <color rgb="FF434343"/>
      <name val="Roboto"/>
    </font>
    <font>
      <b/>
      <sz val="10.0"/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ED29"/>
        <bgColor rgb="FFFFED2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5">
    <border/>
    <border>
      <bottom style="thick">
        <color rgb="FF0B5394"/>
      </bottom>
    </border>
    <border>
      <bottom style="thin">
        <color rgb="FFD9D9D9"/>
      </bottom>
    </border>
    <border>
      <top style="hair">
        <color rgb="FF000000"/>
      </top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0"/>
    </xf>
    <xf borderId="1" fillId="2" fontId="11" numFmtId="0" xfId="0" applyAlignment="1" applyBorder="1" applyFill="1" applyFont="1">
      <alignment readingOrder="0" shrinkToFit="0" vertical="center" wrapText="1"/>
    </xf>
    <xf borderId="0" fillId="2" fontId="1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3" fillId="0" fontId="17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3" fillId="0" fontId="19" numFmtId="164" xfId="0" applyAlignment="1" applyBorder="1" applyFont="1" applyNumberFormat="1">
      <alignment horizontal="left" readingOrder="0" shrinkToFit="0" vertical="center" wrapText="0"/>
    </xf>
    <xf borderId="0" fillId="0" fontId="1" numFmtId="0" xfId="0" applyFont="1"/>
    <xf borderId="0" fillId="0" fontId="20" numFmtId="0" xfId="0" applyAlignment="1" applyFont="1">
      <alignment vertical="center"/>
    </xf>
    <xf borderId="0" fillId="2" fontId="21" numFmtId="0" xfId="0" applyAlignment="1" applyFill="1" applyFont="1">
      <alignment shrinkToFit="0" vertical="center" wrapText="0"/>
    </xf>
    <xf borderId="0" fillId="2" fontId="21" numFmtId="0" xfId="0" applyAlignment="1" applyFill="1" applyFon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0" fillId="3" fontId="22" numFmtId="0" xfId="0" applyAlignment="1" applyFill="1" applyFont="1">
      <alignment horizontal="center" readingOrder="0" shrinkToFit="0" vertical="center" wrapText="1"/>
    </xf>
    <xf borderId="4" fillId="4" fontId="23" numFmtId="0" xfId="0" applyAlignment="1" applyBorder="1" applyFill="1" applyFont="1">
      <alignment horizontal="center" readingOrder="0" shrinkToFit="0" vertical="center" wrapText="0"/>
    </xf>
    <xf borderId="0" fillId="5" fontId="23" numFmtId="0" xfId="0" applyAlignment="1" applyFill="1" applyFont="1">
      <alignment horizontal="center" readingOrder="0" shrinkToFit="0" vertical="center" wrapText="0"/>
    </xf>
    <xf borderId="4" fillId="6" fontId="23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5" fillId="7" fontId="23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8" fontId="23" numFmtId="0" xfId="0" applyAlignment="1" applyBorder="1" applyFill="1" applyFont="1">
      <alignment horizontal="center" readingOrder="0" shrinkToFit="0" vertical="center" wrapText="0"/>
    </xf>
    <xf borderId="5" fillId="9" fontId="23" numFmtId="0" xfId="0" applyAlignment="1" applyBorder="1" applyFill="1" applyFont="1">
      <alignment horizontal="center" readingOrder="0" shrinkToFit="0" vertical="center" wrapText="0"/>
    </xf>
    <xf borderId="0" fillId="0" fontId="25" numFmtId="0" xfId="0" applyAlignment="1" applyFont="1">
      <alignment vertical="center"/>
    </xf>
    <xf borderId="8" fillId="10" fontId="26" numFmtId="0" xfId="0" applyAlignment="1" applyBorder="1" applyFill="1" applyFont="1">
      <alignment horizontal="center" readingOrder="0" shrinkToFit="0" vertical="center" wrapText="0"/>
    </xf>
    <xf borderId="8" fillId="11" fontId="26" numFmtId="0" xfId="0" applyAlignment="1" applyBorder="1" applyFill="1" applyFont="1">
      <alignment horizontal="center" readingOrder="0" shrinkToFit="0" vertical="center" wrapText="0"/>
    </xf>
    <xf borderId="8" fillId="12" fontId="26" numFmtId="0" xfId="0" applyAlignment="1" applyBorder="1" applyFill="1" applyFont="1">
      <alignment horizontal="center" readingOrder="0" shrinkToFit="0" vertical="center" wrapText="0"/>
    </xf>
    <xf borderId="8" fillId="13" fontId="26" numFmtId="0" xfId="0" applyAlignment="1" applyBorder="1" applyFill="1" applyFont="1">
      <alignment horizontal="center" readingOrder="0" shrinkToFit="0" vertical="center" wrapText="0"/>
    </xf>
    <xf borderId="9" fillId="14" fontId="27" numFmtId="0" xfId="0" applyAlignment="1" applyBorder="1" applyFill="1" applyFont="1">
      <alignment horizontal="left" readingOrder="0" shrinkToFit="0" vertical="center" wrapText="1"/>
    </xf>
    <xf borderId="9" fillId="14" fontId="27" numFmtId="0" xfId="0" applyAlignment="1" applyBorder="1" applyFill="1" applyFont="1">
      <alignment readingOrder="0" shrinkToFit="0" vertical="center" wrapText="0"/>
    </xf>
    <xf borderId="9" fillId="14" fontId="27" numFmtId="0" xfId="0" applyAlignment="1" applyBorder="1" applyFill="1" applyFont="1">
      <alignment readingOrder="0" shrinkToFit="0" vertical="center" wrapText="1"/>
    </xf>
    <xf borderId="0" fillId="14" fontId="27" numFmtId="0" xfId="0" applyAlignment="1" applyFill="1" applyFont="1">
      <alignment horizontal="center" shrinkToFit="0" vertical="center" wrapText="0"/>
    </xf>
    <xf borderId="0" fillId="14" fontId="27" numFmtId="165" xfId="0" applyAlignment="1" applyFill="1" applyFont="1" applyNumberFormat="1">
      <alignment horizontal="center" shrinkToFit="0" vertical="center" wrapText="0"/>
    </xf>
    <xf borderId="0" fillId="14" fontId="27" numFmtId="3" xfId="0" applyAlignment="1" applyFill="1" applyFont="1" applyNumberFormat="1">
      <alignment horizontal="center" shrinkToFit="0" vertical="center" wrapText="0"/>
    </xf>
    <xf borderId="0" fillId="14" fontId="27" numFmtId="0" xfId="0" applyAlignment="1" applyFill="1" applyFont="1">
      <alignment horizontal="center" shrinkToFit="0" vertical="center" wrapText="0"/>
    </xf>
    <xf borderId="0" fillId="0" fontId="28" numFmtId="0" xfId="0" applyAlignment="1" applyFont="1">
      <alignment vertical="center"/>
    </xf>
    <xf borderId="10" fillId="0" fontId="29" numFmtId="0" xfId="0" applyAlignment="1" applyBorder="1" applyFont="1">
      <alignment horizontal="left" readingOrder="0" shrinkToFit="0" vertical="center" wrapText="1"/>
    </xf>
    <xf borderId="10" fillId="0" fontId="29" numFmtId="0" xfId="0" applyAlignment="1" applyBorder="1" applyFont="1">
      <alignment readingOrder="0" shrinkToFit="0" vertical="center" wrapText="1"/>
    </xf>
    <xf borderId="10" fillId="15" fontId="29" numFmtId="0" xfId="0" applyAlignment="1" applyBorder="1" applyFill="1" applyFont="1">
      <alignment readingOrder="0" shrinkToFit="0" vertical="center" wrapText="1"/>
    </xf>
    <xf borderId="10" fillId="0" fontId="29" numFmtId="166" xfId="0" applyAlignment="1" applyBorder="1" applyFont="1" applyNumberFormat="1">
      <alignment horizontal="center" readingOrder="0" shrinkToFit="0" vertical="center" wrapText="1"/>
    </xf>
    <xf borderId="10" fillId="0" fontId="29" numFmtId="0" xfId="0" applyAlignment="1" applyBorder="1" applyFont="1">
      <alignment horizontal="center" readingOrder="0" shrinkToFit="0" vertical="center" wrapText="1"/>
    </xf>
    <xf borderId="10" fillId="0" fontId="29" numFmtId="9" xfId="0" applyAlignment="1" applyBorder="1" applyFont="1" applyNumberFormat="1">
      <alignment horizontal="center" readingOrder="0" shrinkToFit="0" vertical="center" wrapText="1"/>
    </xf>
    <xf borderId="11" fillId="0" fontId="30" numFmtId="9" xfId="0" applyAlignment="1" applyBorder="1" applyFont="1" applyNumberFormat="1">
      <alignment horizontal="center" shrinkToFit="0" vertical="center" wrapText="0"/>
    </xf>
    <xf borderId="12" fillId="16" fontId="30" numFmtId="165" xfId="0" applyAlignment="1" applyBorder="1" applyFill="1" applyFont="1" applyNumberFormat="1">
      <alignment horizontal="center" shrinkToFit="0" vertical="center" wrapText="0"/>
    </xf>
    <xf borderId="13" fillId="0" fontId="30" numFmtId="165" xfId="0" applyAlignment="1" applyBorder="1" applyFont="1" applyNumberFormat="1">
      <alignment horizontal="center" shrinkToFit="0" vertical="center" wrapText="0"/>
    </xf>
    <xf borderId="12" fillId="0" fontId="30" numFmtId="0" xfId="0" applyAlignment="1" applyBorder="1" applyFont="1">
      <alignment horizontal="center" shrinkToFit="0" vertical="center" wrapText="0"/>
    </xf>
    <xf borderId="13" fillId="17" fontId="30" numFmtId="0" xfId="0" applyAlignment="1" applyBorder="1" applyFill="1" applyFont="1">
      <alignment horizontal="center" shrinkToFit="0" vertical="center" wrapText="0"/>
    </xf>
    <xf borderId="13" fillId="0" fontId="30" numFmtId="0" xfId="0" applyAlignment="1" applyBorder="1" applyFont="1">
      <alignment horizontal="center" shrinkToFit="0" vertical="center" wrapText="0"/>
    </xf>
    <xf borderId="13" fillId="18" fontId="30" numFmtId="0" xfId="0" applyAlignment="1" applyBorder="1" applyFill="1" applyFont="1">
      <alignment horizontal="center" shrinkToFit="0" vertical="center" wrapText="0"/>
    </xf>
    <xf borderId="10" fillId="19" fontId="29" numFmtId="0" xfId="0" applyAlignment="1" applyBorder="1" applyFill="1" applyFont="1">
      <alignment readingOrder="0" shrinkToFit="0" vertical="center" wrapText="1"/>
    </xf>
    <xf borderId="13" fillId="19" fontId="30" numFmtId="0" xfId="0" applyAlignment="1" applyBorder="1" applyFill="1" applyFont="1">
      <alignment horizontal="center" shrinkToFit="0" vertical="center" wrapText="0"/>
    </xf>
    <xf borderId="10" fillId="20" fontId="29" numFmtId="0" xfId="0" applyAlignment="1" applyBorder="1" applyFill="1" applyFont="1">
      <alignment readingOrder="0" shrinkToFit="0" vertical="center" wrapText="1"/>
    </xf>
    <xf borderId="14" fillId="20" fontId="30" numFmtId="9" xfId="0" applyAlignment="1" applyBorder="1" applyFill="1" applyFont="1" applyNumberFormat="1">
      <alignment horizontal="center" shrinkToFit="0" vertical="center" wrapText="0"/>
    </xf>
    <xf borderId="12" fillId="20" fontId="30" numFmtId="165" xfId="0" applyAlignment="1" applyBorder="1" applyFill="1" applyFont="1" applyNumberFormat="1">
      <alignment horizontal="center" shrinkToFit="0" vertical="center" wrapText="0"/>
    </xf>
    <xf borderId="12" fillId="0" fontId="30" numFmtId="0" xfId="0" applyAlignment="1" applyBorder="1" applyFont="1">
      <alignment horizontal="center" shrinkToFit="0" vertical="center" wrapText="0"/>
    </xf>
    <xf borderId="12" fillId="17" fontId="30" numFmtId="0" xfId="0" applyAlignment="1" applyBorder="1" applyFill="1" applyFont="1">
      <alignment horizontal="center" shrinkToFit="0" vertical="center" wrapText="0"/>
    </xf>
    <xf borderId="12" fillId="18" fontId="30" numFmtId="0" xfId="0" applyAlignment="1" applyBorder="1" applyFill="1" applyFont="1">
      <alignment horizontal="center" shrinkToFit="0" vertical="center" wrapText="0"/>
    </xf>
    <xf borderId="14" fillId="0" fontId="30" numFmtId="9" xfId="0" applyAlignment="1" applyBorder="1" applyFont="1" applyNumberFormat="1">
      <alignment horizontal="center" shrinkToFit="0" vertical="center" wrapText="0"/>
    </xf>
    <xf borderId="0" fillId="0" fontId="31" numFmtId="0" xfId="0" applyFont="1"/>
    <xf borderId="9" fillId="14" fontId="27" numFmtId="0" xfId="0" applyAlignment="1" applyBorder="1" applyFill="1" applyFont="1">
      <alignment shrinkToFit="0" wrapText="1"/>
    </xf>
    <xf borderId="9" fillId="14" fontId="27" numFmtId="0" xfId="0" applyBorder="1" applyFill="1" applyFont="1"/>
    <xf borderId="9" fillId="14" fontId="29" numFmtId="0" xfId="0" applyAlignment="1" applyBorder="1" applyFill="1" applyFont="1">
      <alignment shrinkToFit="0" wrapText="1"/>
    </xf>
    <xf borderId="9" fillId="14" fontId="32" numFmtId="0" xfId="0" applyAlignment="1" applyBorder="1" applyFill="1" applyFont="1">
      <alignment horizontal="center"/>
    </xf>
    <xf borderId="9" fillId="14" fontId="32" numFmtId="0" xfId="0" applyBorder="1" applyFill="1" applyFont="1"/>
    <xf borderId="0" fillId="14" fontId="31" numFmtId="0" xfId="0" applyFill="1" applyFont="1"/>
    <xf borderId="0" fillId="14" fontId="31" numFmtId="165" xfId="0" applyFill="1" applyFont="1" applyNumberFormat="1"/>
    <xf borderId="0" fillId="14" fontId="31" numFmtId="3" xfId="0" applyFill="1" applyFont="1" applyNumberFormat="1"/>
    <xf borderId="0" fillId="14" fontId="31" numFmtId="0" xfId="0" applyFill="1" applyFont="1"/>
    <xf borderId="10" fillId="0" fontId="33" numFmtId="0" xfId="0" applyAlignment="1" applyBorder="1" applyFont="1">
      <alignment horizontal="left" shrinkToFit="0" wrapText="1"/>
    </xf>
    <xf borderId="10" fillId="0" fontId="33" numFmtId="0" xfId="0" applyAlignment="1" applyBorder="1" applyFont="1">
      <alignment shrinkToFit="0" wrapText="1"/>
    </xf>
    <xf borderId="10" fillId="15" fontId="29" numFmtId="0" xfId="0" applyAlignment="1" applyBorder="1" applyFill="1" applyFont="1">
      <alignment readingOrder="0" shrinkToFit="0" wrapText="1"/>
    </xf>
    <xf borderId="10" fillId="0" fontId="29" numFmtId="166" xfId="0" applyAlignment="1" applyBorder="1" applyFont="1" applyNumberFormat="1">
      <alignment horizontal="center" readingOrder="0" shrinkToFit="0" wrapText="1"/>
    </xf>
    <xf borderId="10" fillId="0" fontId="29" numFmtId="0" xfId="0" applyAlignment="1" applyBorder="1" applyFont="1">
      <alignment horizontal="center" shrinkToFit="0" wrapText="1"/>
    </xf>
    <xf borderId="10" fillId="2" fontId="29" numFmtId="9" xfId="0" applyAlignment="1" applyBorder="1" applyFill="1" applyFont="1" applyNumberFormat="1">
      <alignment horizontal="center" readingOrder="0" shrinkToFit="0" wrapText="1"/>
    </xf>
    <xf borderId="11" fillId="0" fontId="31" numFmtId="9" xfId="0" applyBorder="1" applyFont="1" applyNumberFormat="1"/>
    <xf borderId="13" fillId="0" fontId="31" numFmtId="165" xfId="0" applyBorder="1" applyFont="1" applyNumberFormat="1"/>
    <xf borderId="13" fillId="0" fontId="31" numFmtId="0" xfId="0" applyBorder="1" applyFont="1"/>
    <xf borderId="12" fillId="17" fontId="31" numFmtId="0" xfId="0" applyBorder="1" applyFill="1" applyFont="1"/>
    <xf borderId="12" fillId="15" fontId="31" numFmtId="0" xfId="0" applyBorder="1" applyFill="1" applyFont="1"/>
    <xf borderId="13" fillId="0" fontId="31" numFmtId="0" xfId="0" applyBorder="1" applyFont="1"/>
    <xf borderId="13" fillId="18" fontId="31" numFmtId="0" xfId="0" applyBorder="1" applyFill="1" applyFont="1"/>
    <xf borderId="10" fillId="21" fontId="29" numFmtId="0" xfId="0" applyAlignment="1" applyBorder="1" applyFill="1" applyFont="1">
      <alignment readingOrder="0" shrinkToFit="0" wrapText="1"/>
    </xf>
    <xf borderId="10" fillId="0" fontId="32" numFmtId="0" xfId="0" applyAlignment="1" applyBorder="1" applyFont="1">
      <alignment horizontal="center" readingOrder="0"/>
    </xf>
    <xf borderId="10" fillId="2" fontId="29" numFmtId="9" xfId="0" applyAlignment="1" applyBorder="1" applyFill="1" applyFont="1" applyNumberFormat="1">
      <alignment horizontal="center" shrinkToFit="0" wrapText="1"/>
    </xf>
    <xf borderId="14" fillId="0" fontId="31" numFmtId="9" xfId="0" applyBorder="1" applyFont="1" applyNumberFormat="1"/>
    <xf borderId="12" fillId="0" fontId="31" numFmtId="165" xfId="0" applyBorder="1" applyFont="1" applyNumberFormat="1"/>
    <xf borderId="12" fillId="0" fontId="31" numFmtId="0" xfId="0" applyBorder="1" applyFont="1"/>
    <xf borderId="12" fillId="0" fontId="31" numFmtId="0" xfId="0" applyBorder="1" applyFont="1"/>
    <xf borderId="12" fillId="19" fontId="31" numFmtId="0" xfId="0" applyBorder="1" applyFill="1" applyFont="1"/>
    <xf borderId="12" fillId="18" fontId="31" numFmtId="0" xfId="0" applyBorder="1" applyFill="1" applyFont="1"/>
    <xf borderId="10" fillId="20" fontId="28" numFmtId="0" xfId="0" applyAlignment="1" applyBorder="1" applyFill="1" applyFont="1">
      <alignment readingOrder="0" shrinkToFit="0" wrapText="1"/>
    </xf>
    <xf borderId="10" fillId="0" fontId="32" numFmtId="166" xfId="0" applyAlignment="1" applyBorder="1" applyFont="1" applyNumberFormat="1">
      <alignment horizontal="center"/>
    </xf>
    <xf borderId="10" fillId="22" fontId="29" numFmtId="0" xfId="0" applyAlignment="1" applyBorder="1" applyFill="1" applyFont="1">
      <alignment readingOrder="0" shrinkToFit="0" wrapText="1"/>
    </xf>
    <xf borderId="10" fillId="0" fontId="29" numFmtId="166" xfId="0" applyAlignment="1" applyBorder="1" applyFont="1" applyNumberFormat="1">
      <alignment horizontal="center" shrinkToFit="0" wrapText="1"/>
    </xf>
    <xf borderId="9" fillId="14" fontId="34" numFmtId="0" xfId="0" applyAlignment="1" applyBorder="1" applyFill="1" applyFont="1">
      <alignment readingOrder="0" shrinkToFit="0" vertical="center" wrapText="1"/>
    </xf>
    <xf borderId="9" fillId="14" fontId="30" numFmtId="0" xfId="0" applyAlignment="1" applyBorder="1" applyFill="1" applyFont="1">
      <alignment horizontal="center" readingOrder="0" shrinkToFit="0" vertical="center" wrapText="1"/>
    </xf>
    <xf borderId="9" fillId="14" fontId="30" numFmtId="0" xfId="0" applyAlignment="1" applyBorder="1" applyFill="1" applyFont="1">
      <alignment readingOrder="0" shrinkToFit="0" vertical="center" wrapText="1"/>
    </xf>
    <xf borderId="13" fillId="0" fontId="30" numFmtId="0" xfId="0" applyAlignment="1" applyBorder="1" applyFont="1">
      <alignment horizontal="center" shrinkToFit="0" vertical="center" wrapText="0"/>
    </xf>
    <xf borderId="10" fillId="22" fontId="29" numFmtId="0" xfId="0" applyAlignment="1" applyBorder="1" applyFill="1" applyFont="1">
      <alignment readingOrder="0" shrinkToFit="0" vertical="center" wrapText="1"/>
    </xf>
    <xf borderId="12" fillId="0" fontId="30" numFmtId="165" xfId="0" applyAlignment="1" applyBorder="1" applyFont="1" applyNumberFormat="1">
      <alignment horizontal="center" shrinkToFit="0" vertical="center" wrapText="0"/>
    </xf>
    <xf borderId="10" fillId="21" fontId="29" numFmtId="0" xfId="0" applyAlignment="1" applyBorder="1" applyFill="1" applyFont="1">
      <alignment readingOrder="0" shrinkToFit="0" vertical="center" wrapText="1"/>
    </xf>
    <xf borderId="10" fillId="23" fontId="29" numFmtId="0" xfId="0" applyAlignment="1" applyBorder="1" applyFill="1" applyFont="1">
      <alignment readingOrder="0" shrinkToFit="0" vertical="center" wrapText="1"/>
    </xf>
    <xf borderId="12" fillId="23" fontId="30" numFmtId="0" xfId="0" applyAlignment="1" applyBorder="1" applyFill="1" applyFont="1">
      <alignment horizontal="center" shrinkToFit="0" vertical="center" wrapText="0"/>
    </xf>
    <xf borderId="0" fillId="0" fontId="29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22" fontId="29" numFmtId="0" xfId="0" applyAlignment="1" applyFill="1" applyFont="1">
      <alignment readingOrder="0" shrinkToFit="0" vertical="center" wrapText="1"/>
    </xf>
    <xf borderId="0" fillId="0" fontId="29" numFmtId="166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2" fontId="29" numFmtId="9" xfId="0" applyAlignment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49.63"/>
    <col customWidth="1" min="4" max="4" width="13.5"/>
    <col customWidth="1" min="5" max="6" width="10.5"/>
    <col customWidth="1" min="7" max="7" width="8.88"/>
    <col customWidth="1" min="8" max="8" width="9.5"/>
    <col customWidth="1" min="9" max="9" width="7.75"/>
    <col customWidth="1" min="10" max="10" width="8.63"/>
    <col customWidth="1" min="12" max="36" width="3.0"/>
  </cols>
  <sheetData>
    <row r="1" ht="21.0" customHeight="1">
      <c r="A1" s="1"/>
      <c r="B1" s="2"/>
      <c r="C1" s="3"/>
      <c r="D1" s="3"/>
      <c r="E1" s="3"/>
      <c r="F1" s="4"/>
      <c r="G1" s="4"/>
      <c r="H1" s="4"/>
      <c r="I1" s="4"/>
      <c r="J1" s="4"/>
      <c r="K1" s="3"/>
      <c r="L1" s="5"/>
      <c r="M1" s="6"/>
      <c r="N1" s="7"/>
      <c r="O1" s="8"/>
      <c r="P1" s="7"/>
      <c r="Q1" s="1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"/>
      <c r="AG1" s="1"/>
      <c r="AH1" s="1"/>
      <c r="AI1" s="1"/>
      <c r="AJ1" s="1"/>
    </row>
    <row r="2" ht="21.0" customHeight="1">
      <c r="A2" s="1"/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2"/>
      <c r="L2" s="13"/>
      <c r="M2" s="11"/>
      <c r="N2" s="11"/>
      <c r="O2" s="11"/>
      <c r="P2" s="11"/>
      <c r="Q2" s="14"/>
      <c r="R2" s="11"/>
      <c r="S2" s="11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"/>
      <c r="AG2" s="1"/>
      <c r="AH2" s="1"/>
      <c r="AI2" s="1"/>
      <c r="AJ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7"/>
      <c r="J3" s="17"/>
      <c r="K3" s="17"/>
      <c r="L3" s="18"/>
      <c r="M3" s="18"/>
      <c r="N3" s="18"/>
      <c r="O3" s="18"/>
      <c r="P3" s="19"/>
      <c r="Q3" s="1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"/>
      <c r="AG3" s="1"/>
      <c r="AH3" s="1"/>
      <c r="AI3" s="1"/>
      <c r="AJ3" s="1"/>
    </row>
    <row r="4" ht="21.0" customHeight="1">
      <c r="A4" s="1"/>
      <c r="B4" s="20" t="s">
        <v>1</v>
      </c>
      <c r="C4" s="21"/>
      <c r="D4" s="22" t="s">
        <v>2</v>
      </c>
      <c r="E4" s="21"/>
      <c r="F4" s="21"/>
      <c r="G4" s="21"/>
      <c r="H4" s="21"/>
      <c r="I4" s="21"/>
      <c r="J4" s="21"/>
      <c r="K4" s="23"/>
      <c r="L4" s="24"/>
      <c r="Q4" s="25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"/>
      <c r="AG4" s="1"/>
      <c r="AH4" s="1"/>
      <c r="AI4" s="1"/>
      <c r="AJ4" s="1"/>
    </row>
    <row r="5" ht="21.0" customHeight="1">
      <c r="A5" s="1"/>
      <c r="B5" s="20" t="s">
        <v>3</v>
      </c>
      <c r="C5" s="21"/>
      <c r="D5" s="26" t="s">
        <v>4</v>
      </c>
      <c r="E5" s="21"/>
      <c r="F5" s="21"/>
      <c r="G5" s="21"/>
      <c r="H5" s="21"/>
      <c r="I5" s="21"/>
      <c r="J5" s="21"/>
      <c r="K5" s="27"/>
      <c r="L5" s="28" t="s">
        <v>5</v>
      </c>
      <c r="M5" s="29"/>
      <c r="N5" s="29"/>
      <c r="O5" s="29"/>
      <c r="P5" s="29"/>
      <c r="Q5" s="30">
        <v>46293.0</v>
      </c>
      <c r="R5" s="29"/>
      <c r="S5" s="29"/>
      <c r="T5" s="29"/>
      <c r="U5" s="29"/>
      <c r="V5" s="1"/>
      <c r="W5" s="1"/>
      <c r="X5" s="1"/>
      <c r="Y5" s="1"/>
      <c r="Z5" s="31"/>
      <c r="AA5" s="1"/>
      <c r="AB5" s="1"/>
      <c r="AC5" s="1"/>
      <c r="AD5" s="1"/>
      <c r="AE5" s="31"/>
      <c r="AF5" s="1"/>
      <c r="AG5" s="1"/>
      <c r="AH5" s="1"/>
      <c r="AI5" s="1"/>
      <c r="AJ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4"/>
      <c r="J6" s="34"/>
      <c r="K6" s="34"/>
      <c r="L6" s="33"/>
      <c r="M6" s="33"/>
      <c r="N6" s="33"/>
      <c r="O6" s="33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4"/>
      <c r="J7" s="34"/>
      <c r="K7" s="34"/>
      <c r="L7" s="33"/>
      <c r="M7" s="33"/>
      <c r="N7" s="33"/>
      <c r="O7" s="33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ht="17.25" customHeight="1">
      <c r="A8" s="35"/>
      <c r="B8" s="36" t="s">
        <v>6</v>
      </c>
      <c r="C8" s="36" t="s">
        <v>7</v>
      </c>
      <c r="D8" s="36" t="s">
        <v>8</v>
      </c>
      <c r="E8" s="36" t="s">
        <v>9</v>
      </c>
      <c r="F8" s="36" t="s">
        <v>10</v>
      </c>
      <c r="G8" s="36" t="s">
        <v>11</v>
      </c>
      <c r="H8" s="36" t="s">
        <v>12</v>
      </c>
      <c r="I8" s="36" t="s">
        <v>13</v>
      </c>
      <c r="J8" s="36" t="s">
        <v>14</v>
      </c>
      <c r="K8" s="36" t="s">
        <v>15</v>
      </c>
      <c r="L8" s="37" t="s">
        <v>16</v>
      </c>
      <c r="V8" s="38" t="s">
        <v>17</v>
      </c>
      <c r="AB8" s="39" t="s">
        <v>18</v>
      </c>
    </row>
    <row r="9" ht="17.25" customHeight="1">
      <c r="A9" s="40"/>
      <c r="L9" s="41" t="s">
        <v>19</v>
      </c>
      <c r="M9" s="42"/>
      <c r="N9" s="42"/>
      <c r="O9" s="42"/>
      <c r="P9" s="43"/>
      <c r="Q9" s="41" t="s">
        <v>20</v>
      </c>
      <c r="R9" s="42"/>
      <c r="S9" s="42"/>
      <c r="T9" s="42"/>
      <c r="U9" s="43"/>
      <c r="V9" s="44" t="s">
        <v>21</v>
      </c>
      <c r="W9" s="42"/>
      <c r="X9" s="42"/>
      <c r="Y9" s="42"/>
      <c r="Z9" s="43"/>
      <c r="AA9" s="44" t="s">
        <v>22</v>
      </c>
      <c r="AB9" s="42"/>
      <c r="AC9" s="42"/>
      <c r="AD9" s="42"/>
      <c r="AE9" s="43"/>
      <c r="AF9" s="45" t="s">
        <v>22</v>
      </c>
      <c r="AG9" s="42"/>
      <c r="AH9" s="42"/>
      <c r="AI9" s="42"/>
      <c r="AJ9" s="43"/>
    </row>
    <row r="10" ht="17.25" customHeight="1">
      <c r="A10" s="46"/>
      <c r="L10" s="47" t="s">
        <v>23</v>
      </c>
      <c r="M10" s="47" t="s">
        <v>24</v>
      </c>
      <c r="N10" s="47" t="s">
        <v>25</v>
      </c>
      <c r="O10" s="47" t="s">
        <v>26</v>
      </c>
      <c r="P10" s="47" t="s">
        <v>27</v>
      </c>
      <c r="Q10" s="47" t="s">
        <v>23</v>
      </c>
      <c r="R10" s="47" t="s">
        <v>24</v>
      </c>
      <c r="S10" s="47" t="s">
        <v>25</v>
      </c>
      <c r="T10" s="47" t="s">
        <v>26</v>
      </c>
      <c r="U10" s="48" t="s">
        <v>27</v>
      </c>
      <c r="V10" s="49" t="s">
        <v>23</v>
      </c>
      <c r="W10" s="49" t="s">
        <v>24</v>
      </c>
      <c r="X10" s="49" t="s">
        <v>25</v>
      </c>
      <c r="Y10" s="49" t="s">
        <v>26</v>
      </c>
      <c r="Z10" s="49" t="s">
        <v>27</v>
      </c>
      <c r="AA10" s="49" t="s">
        <v>23</v>
      </c>
      <c r="AB10" s="49" t="s">
        <v>24</v>
      </c>
      <c r="AC10" s="49" t="s">
        <v>25</v>
      </c>
      <c r="AD10" s="49" t="s">
        <v>26</v>
      </c>
      <c r="AE10" s="49" t="s">
        <v>27</v>
      </c>
      <c r="AF10" s="50" t="s">
        <v>23</v>
      </c>
      <c r="AG10" s="50" t="s">
        <v>24</v>
      </c>
      <c r="AH10" s="50" t="s">
        <v>25</v>
      </c>
      <c r="AI10" s="50" t="s">
        <v>26</v>
      </c>
      <c r="AJ10" s="50" t="s">
        <v>27</v>
      </c>
    </row>
    <row r="11" ht="21.0" customHeight="1">
      <c r="A11" s="32"/>
      <c r="B11" s="51" t="s">
        <v>28</v>
      </c>
      <c r="C11" s="52" t="s">
        <v>29</v>
      </c>
      <c r="D11" s="53" t="s">
        <v>30</v>
      </c>
      <c r="E11" s="53"/>
      <c r="F11" s="53"/>
      <c r="G11" s="53"/>
      <c r="H11" s="53"/>
      <c r="I11" s="53"/>
      <c r="J11" s="53"/>
      <c r="K11" s="53"/>
      <c r="L11" s="54"/>
      <c r="M11" s="55"/>
      <c r="N11" s="56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ht="17.25" customHeight="1" outlineLevel="1">
      <c r="A12" s="58"/>
      <c r="B12" s="59">
        <v>1.1</v>
      </c>
      <c r="C12" s="60" t="s">
        <v>31</v>
      </c>
      <c r="D12" s="61" t="s">
        <v>32</v>
      </c>
      <c r="E12" s="62">
        <v>46294.0</v>
      </c>
      <c r="F12" s="62">
        <v>46295.0</v>
      </c>
      <c r="G12" s="62">
        <v>46294.0</v>
      </c>
      <c r="H12" s="62">
        <v>46295.0</v>
      </c>
      <c r="I12" s="63" t="s">
        <v>33</v>
      </c>
      <c r="J12" s="63">
        <f t="shared" ref="J12:J16" si="1">DAYS360(G12,H12)</f>
        <v>1</v>
      </c>
      <c r="K12" s="64">
        <v>1.0</v>
      </c>
      <c r="L12" s="65"/>
      <c r="M12" s="66"/>
      <c r="N12" s="66"/>
      <c r="O12" s="67"/>
      <c r="P12" s="68"/>
      <c r="Q12" s="69"/>
      <c r="R12" s="69"/>
      <c r="S12" s="69"/>
      <c r="T12" s="69"/>
      <c r="U12" s="69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1"/>
      <c r="AG12" s="71"/>
      <c r="AH12" s="71"/>
      <c r="AI12" s="71"/>
      <c r="AJ12" s="71"/>
    </row>
    <row r="13" ht="17.25" customHeight="1" outlineLevel="1">
      <c r="A13" s="58"/>
      <c r="B13" s="59">
        <v>1.2</v>
      </c>
      <c r="C13" s="60" t="s">
        <v>34</v>
      </c>
      <c r="D13" s="72" t="s">
        <v>35</v>
      </c>
      <c r="E13" s="62">
        <v>46296.0</v>
      </c>
      <c r="F13" s="62">
        <v>46298.0</v>
      </c>
      <c r="G13" s="62">
        <v>46296.0</v>
      </c>
      <c r="H13" s="62">
        <v>46299.0</v>
      </c>
      <c r="I13" s="63" t="s">
        <v>33</v>
      </c>
      <c r="J13" s="63">
        <f t="shared" si="1"/>
        <v>3</v>
      </c>
      <c r="K13" s="64">
        <v>1.0</v>
      </c>
      <c r="L13" s="65"/>
      <c r="M13" s="67"/>
      <c r="N13" s="73"/>
      <c r="O13" s="73"/>
      <c r="P13" s="73"/>
      <c r="Q13" s="73"/>
      <c r="R13" s="69"/>
      <c r="S13" s="69"/>
      <c r="T13" s="69"/>
      <c r="U13" s="69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1"/>
      <c r="AG13" s="71"/>
      <c r="AH13" s="71"/>
      <c r="AI13" s="71"/>
      <c r="AJ13" s="71"/>
    </row>
    <row r="14" ht="18.75" customHeight="1" outlineLevel="1">
      <c r="A14" s="58"/>
      <c r="B14" s="59">
        <v>1.3</v>
      </c>
      <c r="C14" s="60" t="s">
        <v>36</v>
      </c>
      <c r="D14" s="74" t="s">
        <v>37</v>
      </c>
      <c r="E14" s="62">
        <v>46323.0</v>
      </c>
      <c r="F14" s="62">
        <v>46324.0</v>
      </c>
      <c r="G14" s="62">
        <v>46323.0</v>
      </c>
      <c r="H14" s="62">
        <v>46324.0</v>
      </c>
      <c r="I14" s="63" t="s">
        <v>33</v>
      </c>
      <c r="J14" s="63">
        <f t="shared" si="1"/>
        <v>1</v>
      </c>
      <c r="K14" s="64">
        <v>1.0</v>
      </c>
      <c r="L14" s="75"/>
      <c r="M14" s="76"/>
      <c r="N14" s="68"/>
      <c r="O14" s="68"/>
      <c r="P14" s="77"/>
      <c r="Q14" s="78"/>
      <c r="R14" s="78"/>
      <c r="S14" s="78"/>
      <c r="T14" s="78"/>
      <c r="U14" s="78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9"/>
      <c r="AG14" s="79"/>
      <c r="AH14" s="79"/>
      <c r="AI14" s="79"/>
      <c r="AJ14" s="79"/>
    </row>
    <row r="15" ht="17.25" customHeight="1" outlineLevel="1">
      <c r="A15" s="58"/>
      <c r="B15" s="59">
        <v>1.4</v>
      </c>
      <c r="C15" s="60" t="s">
        <v>38</v>
      </c>
      <c r="D15" s="61" t="s">
        <v>32</v>
      </c>
      <c r="E15" s="62">
        <v>46294.0</v>
      </c>
      <c r="F15" s="62">
        <v>46296.0</v>
      </c>
      <c r="G15" s="62">
        <v>46294.0</v>
      </c>
      <c r="H15" s="62">
        <v>46296.0</v>
      </c>
      <c r="I15" s="63" t="s">
        <v>33</v>
      </c>
      <c r="J15" s="63">
        <f t="shared" si="1"/>
        <v>2</v>
      </c>
      <c r="K15" s="64">
        <v>0.95</v>
      </c>
      <c r="L15" s="80"/>
      <c r="M15" s="66"/>
      <c r="N15" s="66"/>
      <c r="O15" s="77"/>
      <c r="P15" s="77"/>
      <c r="Q15" s="78"/>
      <c r="R15" s="78"/>
      <c r="S15" s="78"/>
      <c r="T15" s="78"/>
      <c r="U15" s="78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9"/>
      <c r="AG15" s="79"/>
      <c r="AH15" s="79"/>
      <c r="AI15" s="79"/>
      <c r="AJ15" s="79"/>
    </row>
    <row r="16" ht="17.25" customHeight="1" outlineLevel="1">
      <c r="A16" s="58"/>
      <c r="B16" s="59">
        <v>1.5</v>
      </c>
      <c r="C16" s="60" t="s">
        <v>39</v>
      </c>
      <c r="D16" s="74" t="s">
        <v>37</v>
      </c>
      <c r="E16" s="62">
        <v>46300.0</v>
      </c>
      <c r="F16" s="62">
        <v>46301.0</v>
      </c>
      <c r="G16" s="62">
        <v>46300.0</v>
      </c>
      <c r="H16" s="62">
        <v>46301.0</v>
      </c>
      <c r="I16" s="63">
        <v>1.4</v>
      </c>
      <c r="J16" s="63">
        <f t="shared" si="1"/>
        <v>1</v>
      </c>
      <c r="K16" s="64">
        <v>1.0</v>
      </c>
      <c r="L16" s="68"/>
      <c r="N16" s="68"/>
      <c r="O16" s="68"/>
      <c r="P16" s="77"/>
      <c r="Q16" s="75"/>
      <c r="R16" s="75"/>
      <c r="S16" s="78"/>
      <c r="T16" s="78"/>
      <c r="U16" s="78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9"/>
      <c r="AG16" s="79"/>
      <c r="AH16" s="79"/>
      <c r="AI16" s="79"/>
      <c r="AJ16" s="79"/>
    </row>
    <row r="17" ht="21.0" customHeight="1">
      <c r="A17" s="81"/>
      <c r="B17" s="82" t="s">
        <v>40</v>
      </c>
      <c r="C17" s="83" t="s">
        <v>41</v>
      </c>
      <c r="D17" s="84"/>
      <c r="E17" s="85"/>
      <c r="F17" s="85"/>
      <c r="G17" s="85"/>
      <c r="H17" s="85"/>
      <c r="I17" s="86"/>
      <c r="J17" s="86"/>
      <c r="K17" s="86"/>
      <c r="L17" s="87"/>
      <c r="M17" s="88"/>
      <c r="N17" s="89"/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</row>
    <row r="18" ht="17.25" customHeight="1" outlineLevel="1">
      <c r="A18" s="81"/>
      <c r="B18" s="91">
        <v>2.1</v>
      </c>
      <c r="C18" s="92" t="s">
        <v>42</v>
      </c>
      <c r="D18" s="93" t="s">
        <v>32</v>
      </c>
      <c r="E18" s="94">
        <v>46301.0</v>
      </c>
      <c r="F18" s="94">
        <v>46302.0</v>
      </c>
      <c r="G18" s="94">
        <v>46301.0</v>
      </c>
      <c r="H18" s="94">
        <v>46302.0</v>
      </c>
      <c r="I18" s="95">
        <v>1.4</v>
      </c>
      <c r="J18" s="63"/>
      <c r="K18" s="96">
        <v>1.0</v>
      </c>
      <c r="L18" s="97"/>
      <c r="M18" s="98"/>
      <c r="N18" s="99"/>
      <c r="O18" s="99"/>
      <c r="P18" s="99"/>
      <c r="Q18" s="100"/>
      <c r="R18" s="101"/>
      <c r="S18" s="101"/>
      <c r="T18" s="100"/>
      <c r="U18" s="100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3"/>
      <c r="AG18" s="103"/>
      <c r="AH18" s="103"/>
      <c r="AI18" s="103"/>
      <c r="AJ18" s="103"/>
    </row>
    <row r="19" ht="17.25" customHeight="1" outlineLevel="1">
      <c r="A19" s="81"/>
      <c r="B19" s="91">
        <v>2.2</v>
      </c>
      <c r="C19" s="92" t="s">
        <v>43</v>
      </c>
      <c r="D19" s="104" t="s">
        <v>44</v>
      </c>
      <c r="E19" s="94">
        <v>46301.0</v>
      </c>
      <c r="F19" s="94">
        <v>46302.0</v>
      </c>
      <c r="G19" s="94">
        <v>46303.0</v>
      </c>
      <c r="H19" s="94">
        <v>46303.0</v>
      </c>
      <c r="I19" s="105">
        <v>2.1</v>
      </c>
      <c r="J19" s="63"/>
      <c r="K19" s="106"/>
      <c r="L19" s="107"/>
      <c r="M19" s="108"/>
      <c r="N19" s="109"/>
      <c r="O19" s="109"/>
      <c r="P19" s="110"/>
      <c r="Q19" s="100"/>
      <c r="R19" s="100"/>
      <c r="S19" s="100"/>
      <c r="T19" s="111"/>
      <c r="U19" s="10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2"/>
      <c r="AG19" s="112"/>
      <c r="AH19" s="112"/>
      <c r="AI19" s="112"/>
      <c r="AJ19" s="112"/>
    </row>
    <row r="20" ht="17.25" customHeight="1" outlineLevel="1">
      <c r="A20" s="81"/>
      <c r="B20" s="91">
        <v>2.3</v>
      </c>
      <c r="C20" s="92" t="s">
        <v>45</v>
      </c>
      <c r="D20" s="113" t="s">
        <v>37</v>
      </c>
      <c r="E20" s="94">
        <v>46302.0</v>
      </c>
      <c r="F20" s="94">
        <v>46303.0</v>
      </c>
      <c r="G20" s="94">
        <v>46303.0</v>
      </c>
      <c r="H20" s="114"/>
      <c r="I20" s="105">
        <v>2.2</v>
      </c>
      <c r="J20" s="63"/>
      <c r="K20" s="96">
        <v>0.5</v>
      </c>
      <c r="L20" s="107"/>
      <c r="M20" s="108"/>
      <c r="N20" s="109"/>
      <c r="O20" s="109"/>
      <c r="P20" s="110"/>
      <c r="Q20" s="100"/>
      <c r="R20" s="100"/>
      <c r="S20" s="100"/>
      <c r="T20" s="100"/>
      <c r="U20" s="10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2"/>
      <c r="AG20" s="112"/>
      <c r="AH20" s="112"/>
      <c r="AI20" s="112"/>
      <c r="AJ20" s="112"/>
    </row>
    <row r="21" ht="17.25" customHeight="1" outlineLevel="1">
      <c r="A21" s="81"/>
      <c r="B21" s="91">
        <v>2.4</v>
      </c>
      <c r="C21" s="92" t="s">
        <v>46</v>
      </c>
      <c r="D21" s="115" t="s">
        <v>47</v>
      </c>
      <c r="E21" s="94">
        <v>46303.0</v>
      </c>
      <c r="F21" s="94">
        <v>46304.0</v>
      </c>
      <c r="G21" s="116"/>
      <c r="H21" s="114"/>
      <c r="I21" s="105">
        <v>2.3</v>
      </c>
      <c r="J21" s="63"/>
      <c r="K21" s="106"/>
      <c r="L21" s="107"/>
      <c r="M21" s="108"/>
      <c r="N21" s="109"/>
      <c r="O21" s="109"/>
      <c r="P21" s="110"/>
      <c r="Q21" s="100"/>
      <c r="R21" s="100"/>
      <c r="S21" s="100"/>
      <c r="T21" s="100"/>
      <c r="U21" s="10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2"/>
      <c r="AG21" s="112"/>
      <c r="AH21" s="112"/>
      <c r="AI21" s="112"/>
      <c r="AJ21" s="112"/>
    </row>
    <row r="22" ht="21.0" customHeight="1">
      <c r="A22" s="32"/>
      <c r="B22" s="51" t="s">
        <v>48</v>
      </c>
      <c r="C22" s="52" t="s">
        <v>49</v>
      </c>
      <c r="D22" s="117"/>
      <c r="E22" s="118"/>
      <c r="F22" s="118"/>
      <c r="G22" s="118"/>
      <c r="H22" s="118"/>
      <c r="I22" s="119"/>
      <c r="J22" s="86"/>
      <c r="K22" s="119"/>
      <c r="L22" s="54"/>
      <c r="M22" s="55"/>
      <c r="N22" s="56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</row>
    <row r="23" ht="17.25" customHeight="1" outlineLevel="1">
      <c r="A23" s="58"/>
      <c r="B23" s="59">
        <v>3.1</v>
      </c>
      <c r="C23" s="60" t="s">
        <v>50</v>
      </c>
      <c r="D23" s="74" t="s">
        <v>37</v>
      </c>
      <c r="E23" s="62">
        <v>46303.0</v>
      </c>
      <c r="F23" s="62">
        <v>46304.0</v>
      </c>
      <c r="G23" s="62"/>
      <c r="H23" s="62"/>
      <c r="I23" s="63">
        <v>2.4</v>
      </c>
      <c r="J23" s="63"/>
      <c r="K23" s="64"/>
      <c r="L23" s="65"/>
      <c r="M23" s="67"/>
      <c r="N23" s="120"/>
      <c r="O23" s="120"/>
      <c r="P23" s="120"/>
      <c r="Q23" s="69"/>
      <c r="R23" s="69"/>
      <c r="S23" s="69"/>
      <c r="T23" s="69"/>
      <c r="U23" s="69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1"/>
      <c r="AG23" s="71"/>
      <c r="AH23" s="71"/>
      <c r="AI23" s="71"/>
      <c r="AJ23" s="71"/>
    </row>
    <row r="24" ht="17.25" customHeight="1" outlineLevel="1">
      <c r="A24" s="58"/>
      <c r="B24" s="59">
        <v>3.2</v>
      </c>
      <c r="C24" s="60" t="s">
        <v>51</v>
      </c>
      <c r="D24" s="121" t="s">
        <v>47</v>
      </c>
      <c r="E24" s="62">
        <v>46304.0</v>
      </c>
      <c r="F24" s="62">
        <v>46307.0</v>
      </c>
      <c r="G24" s="62"/>
      <c r="H24" s="62"/>
      <c r="I24" s="63">
        <v>3.1</v>
      </c>
      <c r="J24" s="63"/>
      <c r="K24" s="64"/>
      <c r="L24" s="80"/>
      <c r="M24" s="122"/>
      <c r="N24" s="68"/>
      <c r="O24" s="68"/>
      <c r="P24" s="77"/>
      <c r="Q24" s="78"/>
      <c r="R24" s="78"/>
      <c r="S24" s="78"/>
      <c r="T24" s="78"/>
      <c r="U24" s="78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9"/>
      <c r="AG24" s="79"/>
      <c r="AH24" s="79"/>
      <c r="AI24" s="79"/>
      <c r="AJ24" s="79"/>
    </row>
    <row r="25" ht="17.25" customHeight="1" outlineLevel="1">
      <c r="A25" s="58"/>
      <c r="B25" s="59">
        <v>3.3</v>
      </c>
      <c r="C25" s="60" t="s">
        <v>52</v>
      </c>
      <c r="D25" s="123" t="s">
        <v>44</v>
      </c>
      <c r="E25" s="62">
        <v>46307.0</v>
      </c>
      <c r="F25" s="62">
        <v>46308.0</v>
      </c>
      <c r="G25" s="62"/>
      <c r="H25" s="62"/>
      <c r="I25" s="63">
        <v>3.2</v>
      </c>
      <c r="J25" s="63"/>
      <c r="K25" s="64"/>
      <c r="L25" s="80"/>
      <c r="M25" s="122"/>
      <c r="N25" s="68"/>
      <c r="O25" s="68"/>
      <c r="P25" s="77"/>
      <c r="Q25" s="78"/>
      <c r="R25" s="78"/>
      <c r="S25" s="78"/>
      <c r="T25" s="78"/>
      <c r="U25" s="78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9"/>
      <c r="AG25" s="79"/>
      <c r="AH25" s="79"/>
      <c r="AI25" s="79"/>
      <c r="AJ25" s="79"/>
    </row>
    <row r="26" ht="17.25" customHeight="1" outlineLevel="1">
      <c r="A26" s="58"/>
      <c r="B26" s="59">
        <v>3.4</v>
      </c>
      <c r="C26" s="60" t="s">
        <v>53</v>
      </c>
      <c r="D26" s="123" t="s">
        <v>44</v>
      </c>
      <c r="E26" s="62">
        <v>46307.0</v>
      </c>
      <c r="F26" s="62">
        <v>46308.0</v>
      </c>
      <c r="G26" s="62"/>
      <c r="H26" s="62"/>
      <c r="I26" s="63">
        <v>3.3</v>
      </c>
      <c r="J26" s="63"/>
      <c r="K26" s="64"/>
      <c r="L26" s="80"/>
      <c r="M26" s="122"/>
      <c r="N26" s="68"/>
      <c r="O26" s="68"/>
      <c r="P26" s="77"/>
      <c r="Q26" s="78"/>
      <c r="R26" s="78"/>
      <c r="S26" s="78"/>
      <c r="T26" s="78"/>
      <c r="U26" s="78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9"/>
      <c r="AG26" s="79"/>
      <c r="AH26" s="79"/>
      <c r="AI26" s="79"/>
      <c r="AJ26" s="79"/>
    </row>
    <row r="27" ht="21.0" customHeight="1">
      <c r="A27" s="32"/>
      <c r="B27" s="51" t="s">
        <v>54</v>
      </c>
      <c r="C27" s="52" t="s">
        <v>55</v>
      </c>
      <c r="D27" s="117"/>
      <c r="E27" s="118"/>
      <c r="F27" s="118"/>
      <c r="G27" s="118"/>
      <c r="H27" s="118"/>
      <c r="I27" s="119"/>
      <c r="J27" s="86"/>
      <c r="K27" s="119"/>
      <c r="L27" s="54"/>
      <c r="M27" s="55"/>
      <c r="N27" s="56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</row>
    <row r="28" ht="17.25" customHeight="1" outlineLevel="1">
      <c r="A28" s="58"/>
      <c r="B28" s="59">
        <v>4.1</v>
      </c>
      <c r="C28" s="60" t="s">
        <v>56</v>
      </c>
      <c r="D28" s="121" t="s">
        <v>47</v>
      </c>
      <c r="E28" s="62">
        <v>46308.0</v>
      </c>
      <c r="F28" s="62">
        <v>46309.0</v>
      </c>
      <c r="G28" s="94">
        <v>46303.0</v>
      </c>
      <c r="H28" s="62"/>
      <c r="I28" s="63">
        <v>3.4</v>
      </c>
      <c r="J28" s="63"/>
      <c r="K28" s="63" t="s">
        <v>57</v>
      </c>
      <c r="L28" s="65"/>
      <c r="M28" s="67"/>
      <c r="N28" s="120"/>
      <c r="O28" s="120"/>
      <c r="P28" s="120"/>
      <c r="Q28" s="69"/>
      <c r="R28" s="69"/>
      <c r="S28" s="69"/>
      <c r="T28" s="69"/>
      <c r="U28" s="69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1"/>
      <c r="AG28" s="71"/>
      <c r="AH28" s="71"/>
      <c r="AI28" s="71"/>
      <c r="AJ28" s="71"/>
    </row>
    <row r="29" ht="17.25" customHeight="1" outlineLevel="1">
      <c r="A29" s="58"/>
      <c r="B29" s="59">
        <v>4.2</v>
      </c>
      <c r="C29" s="60" t="s">
        <v>58</v>
      </c>
      <c r="D29" s="124" t="s">
        <v>47</v>
      </c>
      <c r="E29" s="62">
        <v>46309.0</v>
      </c>
      <c r="F29" s="62">
        <v>46310.0</v>
      </c>
      <c r="G29" s="94">
        <v>46303.0</v>
      </c>
      <c r="H29" s="94">
        <v>46303.0</v>
      </c>
      <c r="I29" s="63">
        <v>4.1</v>
      </c>
      <c r="J29" s="63"/>
      <c r="K29" s="64">
        <v>1.0</v>
      </c>
      <c r="L29" s="80"/>
      <c r="M29" s="122"/>
      <c r="N29" s="68"/>
      <c r="O29" s="68"/>
      <c r="P29" s="77"/>
      <c r="Q29" s="78"/>
      <c r="R29" s="78"/>
      <c r="S29" s="78"/>
      <c r="T29" s="125"/>
      <c r="U29" s="78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9"/>
      <c r="AG29" s="79"/>
      <c r="AH29" s="79"/>
      <c r="AI29" s="79"/>
      <c r="AJ29" s="79"/>
    </row>
    <row r="30" ht="17.25" customHeight="1" outlineLevel="1">
      <c r="A30" s="58"/>
      <c r="B30" s="59">
        <v>4.3</v>
      </c>
      <c r="C30" s="60" t="s">
        <v>59</v>
      </c>
      <c r="D30" s="61" t="s">
        <v>32</v>
      </c>
      <c r="E30" s="62">
        <v>46310.0</v>
      </c>
      <c r="F30" s="62">
        <v>46311.0</v>
      </c>
      <c r="G30" s="62"/>
      <c r="H30" s="62"/>
      <c r="I30" s="63">
        <v>4.2</v>
      </c>
      <c r="J30" s="63"/>
      <c r="K30" s="64"/>
      <c r="L30" s="80"/>
      <c r="M30" s="122"/>
      <c r="N30" s="68"/>
      <c r="O30" s="68"/>
      <c r="P30" s="77"/>
      <c r="Q30" s="78"/>
      <c r="R30" s="78"/>
      <c r="S30" s="78"/>
      <c r="T30" s="78"/>
      <c r="U30" s="78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9"/>
      <c r="AG30" s="79"/>
      <c r="AH30" s="79"/>
      <c r="AI30" s="79"/>
      <c r="AJ30" s="79"/>
    </row>
    <row r="31" ht="17.25" customHeight="1" outlineLevel="1">
      <c r="A31" s="58"/>
      <c r="B31" s="59">
        <v>4.4</v>
      </c>
      <c r="C31" s="60" t="s">
        <v>60</v>
      </c>
      <c r="D31" s="61" t="s">
        <v>32</v>
      </c>
      <c r="E31" s="62">
        <v>46310.0</v>
      </c>
      <c r="F31" s="62">
        <v>46311.0</v>
      </c>
      <c r="G31" s="62"/>
      <c r="H31" s="62"/>
      <c r="I31" s="63">
        <v>4.3</v>
      </c>
      <c r="J31" s="63"/>
      <c r="K31" s="64"/>
      <c r="L31" s="80"/>
      <c r="M31" s="122"/>
      <c r="N31" s="68"/>
      <c r="O31" s="68"/>
      <c r="P31" s="77"/>
      <c r="Q31" s="78"/>
      <c r="R31" s="78"/>
      <c r="S31" s="78"/>
      <c r="T31" s="78"/>
      <c r="U31" s="78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9"/>
      <c r="AG31" s="79"/>
      <c r="AH31" s="79"/>
      <c r="AI31" s="79"/>
      <c r="AJ31" s="79"/>
    </row>
    <row r="32" ht="21.0" customHeight="1">
      <c r="A32" s="32"/>
      <c r="B32" s="51" t="s">
        <v>61</v>
      </c>
      <c r="C32" s="52" t="s">
        <v>62</v>
      </c>
      <c r="D32" s="117"/>
      <c r="E32" s="118"/>
      <c r="F32" s="118"/>
      <c r="G32" s="118"/>
      <c r="H32" s="118"/>
      <c r="I32" s="119"/>
      <c r="J32" s="86"/>
      <c r="K32" s="119"/>
      <c r="L32" s="54"/>
      <c r="M32" s="55"/>
      <c r="N32" s="56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</row>
    <row r="33" ht="17.25" customHeight="1" outlineLevel="1">
      <c r="A33" s="58"/>
      <c r="B33" s="59">
        <v>5.1</v>
      </c>
      <c r="C33" s="60" t="s">
        <v>63</v>
      </c>
      <c r="D33" s="61" t="s">
        <v>32</v>
      </c>
      <c r="E33" s="62">
        <v>46311.0</v>
      </c>
      <c r="F33" s="62">
        <v>46314.0</v>
      </c>
      <c r="G33" s="62"/>
      <c r="H33" s="62"/>
      <c r="I33" s="63">
        <v>4.4</v>
      </c>
      <c r="J33" s="63"/>
      <c r="K33" s="64"/>
      <c r="L33" s="65"/>
      <c r="M33" s="67"/>
      <c r="N33" s="120"/>
      <c r="O33" s="120"/>
      <c r="P33" s="120"/>
      <c r="Q33" s="69"/>
      <c r="R33" s="69"/>
      <c r="S33" s="69"/>
      <c r="T33" s="69"/>
      <c r="U33" s="69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1"/>
      <c r="AG33" s="71"/>
      <c r="AH33" s="71"/>
      <c r="AI33" s="71"/>
      <c r="AJ33" s="71"/>
    </row>
    <row r="34" ht="17.25" customHeight="1" outlineLevel="1">
      <c r="A34" s="58"/>
      <c r="B34" s="59">
        <v>5.2</v>
      </c>
      <c r="C34" s="60" t="s">
        <v>64</v>
      </c>
      <c r="D34" s="123" t="s">
        <v>44</v>
      </c>
      <c r="E34" s="62">
        <v>46311.0</v>
      </c>
      <c r="F34" s="62">
        <v>46314.0</v>
      </c>
      <c r="G34" s="62"/>
      <c r="H34" s="62"/>
      <c r="I34" s="63">
        <v>5.1</v>
      </c>
      <c r="J34" s="63"/>
      <c r="K34" s="64"/>
      <c r="L34" s="80"/>
      <c r="M34" s="122"/>
      <c r="N34" s="68"/>
      <c r="O34" s="68"/>
      <c r="P34" s="77"/>
      <c r="Q34" s="78"/>
      <c r="R34" s="78"/>
      <c r="S34" s="78"/>
      <c r="T34" s="78"/>
      <c r="U34" s="78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9"/>
      <c r="AG34" s="79"/>
      <c r="AH34" s="79"/>
      <c r="AI34" s="79"/>
      <c r="AJ34" s="79"/>
    </row>
    <row r="35" ht="17.25" customHeight="1" outlineLevel="1">
      <c r="A35" s="58"/>
      <c r="B35" s="59">
        <v>5.3</v>
      </c>
      <c r="C35" s="60" t="s">
        <v>65</v>
      </c>
      <c r="D35" s="123" t="s">
        <v>44</v>
      </c>
      <c r="E35" s="62">
        <v>46314.0</v>
      </c>
      <c r="F35" s="62">
        <v>46315.0</v>
      </c>
      <c r="G35" s="62"/>
      <c r="H35" s="62"/>
      <c r="I35" s="63">
        <v>5.2</v>
      </c>
      <c r="J35" s="63"/>
      <c r="K35" s="64"/>
      <c r="L35" s="80"/>
      <c r="M35" s="122"/>
      <c r="N35" s="68"/>
      <c r="O35" s="68"/>
      <c r="P35" s="77"/>
      <c r="Q35" s="78"/>
      <c r="R35" s="78"/>
      <c r="S35" s="78"/>
      <c r="T35" s="78"/>
      <c r="U35" s="78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9"/>
      <c r="AG35" s="79"/>
      <c r="AH35" s="79"/>
      <c r="AI35" s="79"/>
      <c r="AJ35" s="79"/>
    </row>
    <row r="36" ht="17.25" customHeight="1" outlineLevel="1">
      <c r="A36" s="58"/>
      <c r="B36" s="59">
        <v>5.4</v>
      </c>
      <c r="C36" s="60" t="s">
        <v>66</v>
      </c>
      <c r="D36" s="121" t="s">
        <v>47</v>
      </c>
      <c r="E36" s="62">
        <v>46315.0</v>
      </c>
      <c r="F36" s="62">
        <v>46316.0</v>
      </c>
      <c r="G36" s="62"/>
      <c r="H36" s="62"/>
      <c r="I36" s="63">
        <v>5.3</v>
      </c>
      <c r="J36" s="63"/>
      <c r="K36" s="64"/>
      <c r="L36" s="80"/>
      <c r="M36" s="122"/>
      <c r="N36" s="68"/>
      <c r="O36" s="68"/>
      <c r="P36" s="77"/>
      <c r="Q36" s="78"/>
      <c r="R36" s="78"/>
      <c r="S36" s="78"/>
      <c r="T36" s="78"/>
      <c r="U36" s="78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9"/>
      <c r="AG36" s="79"/>
      <c r="AH36" s="79"/>
      <c r="AI36" s="79"/>
      <c r="AJ36" s="79"/>
    </row>
    <row r="37" ht="21.0" customHeight="1">
      <c r="A37" s="32"/>
      <c r="B37" s="51" t="s">
        <v>67</v>
      </c>
      <c r="C37" s="52" t="s">
        <v>68</v>
      </c>
      <c r="D37" s="117"/>
      <c r="E37" s="118"/>
      <c r="F37" s="118"/>
      <c r="G37" s="118"/>
      <c r="H37" s="118"/>
      <c r="I37" s="119"/>
      <c r="J37" s="86"/>
      <c r="K37" s="119"/>
      <c r="L37" s="54"/>
      <c r="M37" s="55"/>
      <c r="N37" s="56"/>
      <c r="O37" s="56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</row>
    <row r="38" ht="17.25" customHeight="1" outlineLevel="1">
      <c r="A38" s="58"/>
      <c r="B38" s="59">
        <v>6.1</v>
      </c>
      <c r="C38" s="60" t="s">
        <v>69</v>
      </c>
      <c r="D38" s="74" t="s">
        <v>37</v>
      </c>
      <c r="E38" s="62">
        <v>46315.0</v>
      </c>
      <c r="F38" s="62">
        <v>46316.0</v>
      </c>
      <c r="G38" s="62"/>
      <c r="H38" s="62"/>
      <c r="I38" s="63">
        <v>5.4</v>
      </c>
      <c r="J38" s="63"/>
      <c r="K38" s="64"/>
      <c r="L38" s="65"/>
      <c r="M38" s="67"/>
      <c r="N38" s="120"/>
      <c r="O38" s="120"/>
      <c r="P38" s="120"/>
      <c r="Q38" s="69"/>
      <c r="R38" s="69"/>
      <c r="S38" s="69"/>
      <c r="T38" s="69"/>
      <c r="U38" s="69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1"/>
      <c r="AG38" s="71"/>
      <c r="AH38" s="71"/>
      <c r="AI38" s="71"/>
      <c r="AJ38" s="71"/>
    </row>
    <row r="39" ht="17.25" customHeight="1" outlineLevel="1">
      <c r="A39" s="58"/>
      <c r="B39" s="59">
        <v>6.2</v>
      </c>
      <c r="C39" s="60" t="s">
        <v>70</v>
      </c>
      <c r="D39" s="72" t="s">
        <v>35</v>
      </c>
      <c r="E39" s="62">
        <v>46315.0</v>
      </c>
      <c r="F39" s="62">
        <v>46316.0</v>
      </c>
      <c r="G39" s="62"/>
      <c r="H39" s="62"/>
      <c r="I39" s="63">
        <v>6.1</v>
      </c>
      <c r="J39" s="63"/>
      <c r="K39" s="64"/>
      <c r="L39" s="80"/>
      <c r="M39" s="122"/>
      <c r="N39" s="68"/>
      <c r="O39" s="68"/>
      <c r="P39" s="77"/>
      <c r="Q39" s="78"/>
      <c r="R39" s="78"/>
      <c r="S39" s="78"/>
      <c r="T39" s="78"/>
      <c r="U39" s="78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9"/>
      <c r="AG39" s="79"/>
      <c r="AH39" s="79"/>
      <c r="AI39" s="79"/>
      <c r="AJ39" s="79"/>
    </row>
    <row r="40" ht="17.25" customHeight="1" outlineLevel="1">
      <c r="A40" s="58"/>
      <c r="B40" s="59">
        <v>6.3</v>
      </c>
      <c r="C40" s="60" t="s">
        <v>71</v>
      </c>
      <c r="D40" s="74" t="s">
        <v>37</v>
      </c>
      <c r="E40" s="62">
        <v>46316.0</v>
      </c>
      <c r="F40" s="62">
        <v>46317.0</v>
      </c>
      <c r="G40" s="62"/>
      <c r="H40" s="62"/>
      <c r="I40" s="63">
        <v>6.2</v>
      </c>
      <c r="J40" s="63"/>
      <c r="K40" s="64"/>
      <c r="L40" s="80"/>
      <c r="M40" s="122"/>
      <c r="N40" s="68"/>
      <c r="O40" s="68"/>
      <c r="P40" s="77"/>
      <c r="Q40" s="78"/>
      <c r="R40" s="78"/>
      <c r="S40" s="78"/>
      <c r="T40" s="78"/>
      <c r="U40" s="78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9"/>
      <c r="AG40" s="79"/>
      <c r="AH40" s="79"/>
      <c r="AI40" s="79"/>
      <c r="AJ40" s="79"/>
    </row>
    <row r="41" ht="17.25" customHeight="1" outlineLevel="1">
      <c r="A41" s="58"/>
      <c r="B41" s="59">
        <v>6.4</v>
      </c>
      <c r="C41" s="60" t="s">
        <v>72</v>
      </c>
      <c r="D41" s="72" t="s">
        <v>35</v>
      </c>
      <c r="E41" s="62">
        <v>46318.0</v>
      </c>
      <c r="F41" s="62">
        <v>46321.0</v>
      </c>
      <c r="G41" s="62"/>
      <c r="H41" s="62"/>
      <c r="I41" s="63">
        <v>6.3</v>
      </c>
      <c r="J41" s="63"/>
      <c r="K41" s="64"/>
      <c r="L41" s="80"/>
      <c r="M41" s="122"/>
      <c r="N41" s="68"/>
      <c r="O41" s="68"/>
      <c r="P41" s="77"/>
      <c r="Q41" s="78"/>
      <c r="R41" s="78"/>
      <c r="S41" s="78"/>
      <c r="T41" s="78"/>
      <c r="U41" s="78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9"/>
      <c r="AG41" s="79"/>
      <c r="AH41" s="79"/>
      <c r="AI41" s="79"/>
      <c r="AJ41" s="79"/>
    </row>
    <row r="42" ht="17.25" customHeight="1" outlineLevel="1">
      <c r="A42" s="58"/>
      <c r="B42" s="126">
        <v>6.5</v>
      </c>
      <c r="C42" s="127" t="s">
        <v>73</v>
      </c>
      <c r="D42" s="128" t="s">
        <v>47</v>
      </c>
      <c r="E42" s="129">
        <v>46318.0</v>
      </c>
      <c r="F42" s="62">
        <v>46321.0</v>
      </c>
      <c r="G42" s="130"/>
      <c r="H42" s="130"/>
      <c r="I42" s="130">
        <v>6.4</v>
      </c>
      <c r="J42" s="130"/>
      <c r="K42" s="131"/>
      <c r="L42" s="80"/>
      <c r="M42" s="122"/>
      <c r="N42" s="68"/>
      <c r="O42" s="68"/>
      <c r="P42" s="77"/>
      <c r="Q42" s="78"/>
      <c r="R42" s="78"/>
      <c r="S42" s="78"/>
      <c r="T42" s="78"/>
      <c r="U42" s="78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9"/>
      <c r="AG42" s="79"/>
      <c r="AH42" s="79"/>
      <c r="AI42" s="79"/>
      <c r="AJ42" s="79"/>
    </row>
  </sheetData>
  <mergeCells count="28">
    <mergeCell ref="B2:J2"/>
    <mergeCell ref="L2:P2"/>
    <mergeCell ref="Q2:S2"/>
    <mergeCell ref="B4:C4"/>
    <mergeCell ref="D4:J4"/>
    <mergeCell ref="B5:C5"/>
    <mergeCell ref="D5:J5"/>
    <mergeCell ref="Q5:U5"/>
    <mergeCell ref="G8:G10"/>
    <mergeCell ref="H8:H10"/>
    <mergeCell ref="L4:P4"/>
    <mergeCell ref="L5:P5"/>
    <mergeCell ref="B8:B10"/>
    <mergeCell ref="C8:C10"/>
    <mergeCell ref="D8:D10"/>
    <mergeCell ref="E8:E10"/>
    <mergeCell ref="F8:F10"/>
    <mergeCell ref="K8:K10"/>
    <mergeCell ref="V9:Z9"/>
    <mergeCell ref="AA9:AE9"/>
    <mergeCell ref="I8:I10"/>
    <mergeCell ref="J8:J10"/>
    <mergeCell ref="L8:U8"/>
    <mergeCell ref="V8:AA8"/>
    <mergeCell ref="AB8:AJ8"/>
    <mergeCell ref="L9:P9"/>
    <mergeCell ref="Q9:U9"/>
    <mergeCell ref="AF9:AJ9"/>
  </mergeCells>
  <conditionalFormatting sqref="K12:K16 K18:K42">
    <cfRule type="colorScale" priority="1">
      <colorScale>
        <cfvo type="min"/>
        <cfvo type="max"/>
        <color rgb="FFFFFFFF"/>
        <color rgb="FF57BB8A"/>
      </colorScale>
    </cfRule>
  </conditionalFormatting>
  <conditionalFormatting sqref="K12:K16 K18:K42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